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tn\Desktop\Progetti\CAN_PDM\PCB\CAN_PDM\Project Outputs for CAN_PDM\BOM\"/>
    </mc:Choice>
  </mc:AlternateContent>
  <xr:revisionPtr revIDLastSave="0" documentId="13_ncr:1_{E66A1325-BDB9-47EB-90F7-9A39642073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1" l="1"/>
</calcChain>
</file>

<file path=xl/sharedStrings.xml><?xml version="1.0" encoding="utf-8"?>
<sst xmlns="http://schemas.openxmlformats.org/spreadsheetml/2006/main" count="187" uniqueCount="145">
  <si>
    <t>Bill of Materials</t>
  </si>
  <si>
    <t>Project Title:</t>
  </si>
  <si>
    <t>Project File Name:</t>
  </si>
  <si>
    <t>Notes</t>
  </si>
  <si>
    <t xml:space="preserve">Assembly Variant: </t>
  </si>
  <si>
    <t>Designator</t>
  </si>
  <si>
    <t>Quantity</t>
  </si>
  <si>
    <t>Manufacture Part Number</t>
  </si>
  <si>
    <t>NR DEVS</t>
  </si>
  <si>
    <t>Manufacturer</t>
  </si>
  <si>
    <t>PART-DB Part Number</t>
  </si>
  <si>
    <t>Bill of Materials for Variant [V1] of PCB Document [CAN_PDM_Pcb.PcbDoc]</t>
  </si>
  <si>
    <t>CAN_PDM.PrjPcb</t>
  </si>
  <si>
    <t>V1</t>
  </si>
  <si>
    <t>C1</t>
  </si>
  <si>
    <t>C2, C10, C12, C14, C16, C17, C21, C23, C24, C25, C27, C28, C30, C34, C38, C42, C47, C48, C51, C52, C57, C58, C62, C67, C72</t>
  </si>
  <si>
    <t>C3, C4, C5, C6, C9, C11, C13, C15</t>
  </si>
  <si>
    <t>C7, C8, C18, C59, C60</t>
  </si>
  <si>
    <t>C19, C20</t>
  </si>
  <si>
    <t>C22</t>
  </si>
  <si>
    <t>C26</t>
  </si>
  <si>
    <t>C29, C31, C32, C33, C35, C36, C37, C39, C40, C41, C43, C44, C45, C46, C49, C50, C61, C63, C64, C65, C66, C68, C69, C70, C71, C73, C74, D6, D7, D8, D9, D11, D12, D13, D14, DL5, R14</t>
  </si>
  <si>
    <t>C53, C54, C55, C56</t>
  </si>
  <si>
    <t>D1, D2</t>
  </si>
  <si>
    <t>D3</t>
  </si>
  <si>
    <t>D4</t>
  </si>
  <si>
    <t>D5</t>
  </si>
  <si>
    <t>D10, J1, R20, R25, R26, R31, R34, R39, R40, R45, R105, R112, R116, R123, R148, R149, R150, R151, R153, R158, TP1, TP2, TP3, TP4, TP5, TP6, TP7, TP8, TP9, TP12, TP13, TP14, TP15, TP16, TP19, TP20, TP21, TP22, TP24, U3</t>
  </si>
  <si>
    <t>DL1, DL2</t>
  </si>
  <si>
    <t>DL3, DL16, DL17, DL18, DL19</t>
  </si>
  <si>
    <t>DL4, DL6</t>
  </si>
  <si>
    <t>DL7, DL8, DL9, DL10, DL11, DL12, DL13, DL14, DL15</t>
  </si>
  <si>
    <t>J2</t>
  </si>
  <si>
    <t>J3</t>
  </si>
  <si>
    <t>L1</t>
  </si>
  <si>
    <t>L2</t>
  </si>
  <si>
    <t>L3, L4</t>
  </si>
  <si>
    <t>MP1, MP2</t>
  </si>
  <si>
    <t>R1</t>
  </si>
  <si>
    <t>R2, R16, R17, R100, R101, R124, R125, R126, R127, R128, R129, R130, R131, R132, R133, R134, R135, R136, R137, R138, R139, R140, R141</t>
  </si>
  <si>
    <t>R3, R4, R9, R15, R18, R19, R32, R33, R46, R47, R58, R59, R62, R63, R74, R75, R78, R79, R86, R87, R96, R97, R102, R103, R104, R113, R114, R115, R152</t>
  </si>
  <si>
    <t>R5</t>
  </si>
  <si>
    <t>R6, R8, R99, R142, R143, R144, R145</t>
  </si>
  <si>
    <t>R7, R11, R54, R55, R70, R71, R98, R146, R147</t>
  </si>
  <si>
    <t>R10</t>
  </si>
  <si>
    <t>R12</t>
  </si>
  <si>
    <t>R13</t>
  </si>
  <si>
    <t>R21, R22, R23, R24, R27, R28, R29, R30, R35, R36, R37, R38, R41, R42, R43, R44, R80, R81, R82, R83, R88, R89, R90, R91, R94, R95, R106, R107, R108, R109, R110, R111, R117, R118, R119, R120, R121, R122, R154, R155, R156, R157</t>
  </si>
  <si>
    <t>R52, R53, R56, R57, R68, R69, R72, R73</t>
  </si>
  <si>
    <t>SW1</t>
  </si>
  <si>
    <t>U1</t>
  </si>
  <si>
    <t>U2</t>
  </si>
  <si>
    <t>U4</t>
  </si>
  <si>
    <t>U5, U6, U18</t>
  </si>
  <si>
    <t>U7, U8</t>
  </si>
  <si>
    <t>U9, U10, U11, U12</t>
  </si>
  <si>
    <t>U13</t>
  </si>
  <si>
    <t>U14</t>
  </si>
  <si>
    <t>U15</t>
  </si>
  <si>
    <t>U16</t>
  </si>
  <si>
    <t>U17</t>
  </si>
  <si>
    <t>X1</t>
  </si>
  <si>
    <t>KEMET</t>
  </si>
  <si>
    <t>Murata</t>
  </si>
  <si>
    <t>Nexperia</t>
  </si>
  <si>
    <t>Littelfuse</t>
  </si>
  <si>
    <t>Littelfuse, [NoParam], [NoValue], Vishay, ST</t>
  </si>
  <si>
    <t>Wurth Elektronik</t>
  </si>
  <si>
    <t>Wurth</t>
  </si>
  <si>
    <t>Molex</t>
  </si>
  <si>
    <t>GCT</t>
  </si>
  <si>
    <t>BOURNS</t>
  </si>
  <si>
    <t>TDK</t>
  </si>
  <si>
    <t>Wurth Electronics</t>
  </si>
  <si>
    <t>Vishay</t>
  </si>
  <si>
    <t>Nidec Components</t>
  </si>
  <si>
    <t>Texas Instruments</t>
  </si>
  <si>
    <t>NXP Semiconductors</t>
  </si>
  <si>
    <t>Infineon Technologies</t>
  </si>
  <si>
    <t>Texas Instrument</t>
  </si>
  <si>
    <t>Fujitsu Semiconductor</t>
  </si>
  <si>
    <t>Microchip</t>
  </si>
  <si>
    <t>Abracom</t>
  </si>
  <si>
    <t>PartNumber</t>
  </si>
  <si>
    <t>C1206C225K5RAC</t>
  </si>
  <si>
    <t>C0603C104K5RACTU</t>
  </si>
  <si>
    <t>GCJ31CR71A106MA13L</t>
  </si>
  <si>
    <t>C0603C105K8RACTU</t>
  </si>
  <si>
    <t>GCM1885C2A270FA16D</t>
  </si>
  <si>
    <t>C1206C475K5RACTU</t>
  </si>
  <si>
    <t>C0603X473K5RAC3316</t>
  </si>
  <si>
    <t>C0603C103K1RACTU</t>
  </si>
  <si>
    <t>PMEG4010EGWX</t>
  </si>
  <si>
    <t>SZ1SMB20CAT3G</t>
  </si>
  <si>
    <t>BZX84W-C4V7-QX</t>
  </si>
  <si>
    <t>SM712-02HTG</t>
  </si>
  <si>
    <t>150060VS75000</t>
  </si>
  <si>
    <t>150060BS75000</t>
  </si>
  <si>
    <t>150141YB73100</t>
  </si>
  <si>
    <t>150141RV73100</t>
  </si>
  <si>
    <t>USB4105-GF-A</t>
  </si>
  <si>
    <t>SDE0805A-180M</t>
  </si>
  <si>
    <t>MMZ1608R601ATD25</t>
  </si>
  <si>
    <t>BLM18HB331SN1D</t>
  </si>
  <si>
    <t>74651195R</t>
  </si>
  <si>
    <t>CRCW060388K7FKEAC</t>
  </si>
  <si>
    <t>RC0603FR-071K3L</t>
  </si>
  <si>
    <t>CRCW060310K0FKEA</t>
  </si>
  <si>
    <t>CRCW060322K1FKEA</t>
  </si>
  <si>
    <t>RC0603FR-07560RL</t>
  </si>
  <si>
    <t>CRCW06030000Z0EAC</t>
  </si>
  <si>
    <t>CRCW060351K0FKEA</t>
  </si>
  <si>
    <t>CRCW06037K50FKEA</t>
  </si>
  <si>
    <t>CRCW0603120RFKEA</t>
  </si>
  <si>
    <t>CRCW06034K70FKEB</t>
  </si>
  <si>
    <t>CRCW060315K0FKEC</t>
  </si>
  <si>
    <t>CJS-1200TA</t>
  </si>
  <si>
    <t>LV3842XDBVR</t>
  </si>
  <si>
    <t>TLV75530PDBVR</t>
  </si>
  <si>
    <t>TJA1051TK/3,118</t>
  </si>
  <si>
    <t>BTS70021EPPXUMA1</t>
  </si>
  <si>
    <t>BTS70041EPZXUMA1</t>
  </si>
  <si>
    <t>TLV9001IDBVR</t>
  </si>
  <si>
    <t>MB85RC04VPNF-G-JNERE1</t>
  </si>
  <si>
    <t>PCAL6524HEAZ</t>
  </si>
  <si>
    <t>MCP9808-E/MS</t>
  </si>
  <si>
    <t>BTS70082EPZXUMA1</t>
  </si>
  <si>
    <t>BTS70802EPAXUMA1</t>
  </si>
  <si>
    <t>ABM8AIG-8.000MHZ-1Z-T</t>
  </si>
  <si>
    <t xml:space="preserve">	C0603C104K5RACTU</t>
  </si>
  <si>
    <t xml:space="preserve">	CL31B106KBHNNNE</t>
  </si>
  <si>
    <t>CC0603FRNPO0BN270</t>
  </si>
  <si>
    <t xml:space="preserve">	CC0603KRX7R9BB473</t>
  </si>
  <si>
    <t>CC0603KRX7R9BB103</t>
  </si>
  <si>
    <t>XL-1608BGWC-06</t>
  </si>
  <si>
    <t>APG1608SYKC/T</t>
  </si>
  <si>
    <t xml:space="preserve">	BLM18HB331SN1D</t>
  </si>
  <si>
    <t xml:space="preserve">	RC0603FR-071K3L</t>
  </si>
  <si>
    <t>AC0603FR-0710KL</t>
  </si>
  <si>
    <t xml:space="preserve">	CRCW060322K1FKEA</t>
  </si>
  <si>
    <t>RC0603JR-070RL</t>
  </si>
  <si>
    <t xml:space="preserve">	RC0603FR-074K7L</t>
  </si>
  <si>
    <t>AC0603FR-0715KL</t>
  </si>
  <si>
    <t xml:space="preserve">TLV75533 </t>
  </si>
  <si>
    <t xml:space="preserve">	TLV9001IDBVR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</si>
</sst>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6"/>
      <color theme="1"/>
      <name val="Impact"/>
      <family val="2"/>
    </font>
    <font>
      <u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2" borderId="2" xfId="0" applyFill="1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2" fillId="0" borderId="4" xfId="1" applyFont="1" applyBorder="1" applyAlignment="1">
      <alignment vertical="center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9" xfId="0" applyFont="1" applyBorder="1"/>
    <xf numFmtId="0" fontId="3" fillId="0" borderId="3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</cellXfs>
  <cellStyles count="2">
    <cellStyle name="Normal 2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1601390</xdr:colOff>
      <xdr:row>1</xdr:row>
      <xdr:rowOff>67479</xdr:rowOff>
    </xdr:from>
    <xdr:ext cx="767953" cy="566641"/>
    <xdr:pic>
      <xdr:nvPicPr>
        <xdr:cNvPr id="7" name="Immagine 6">
          <a:extLst>
            <a:ext uri="{FF2B5EF4-FFF2-40B4-BE49-F238E27FC236}">
              <a16:creationId xmlns:a16="http://schemas.microsoft.com/office/drawing/2014/main" id="{59AA2809-B338-48C6-A006-02F1E5D10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26843" y="269885"/>
          <a:ext cx="767953" cy="5666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68"/>
  <sheetViews>
    <sheetView showGridLines="0" tabSelected="1" topLeftCell="A8" zoomScale="160" zoomScaleNormal="160" workbookViewId="0">
      <selection activeCell="B31" sqref="B31"/>
    </sheetView>
  </sheetViews>
  <sheetFormatPr defaultRowHeight="15" x14ac:dyDescent="0.25"/>
  <cols>
    <col min="2" max="2" width="20.28515625" customWidth="1"/>
    <col min="3" max="3" width="25" customWidth="1"/>
    <col min="4" max="5" width="26.28515625" customWidth="1"/>
    <col min="6" max="6" width="14.28515625" customWidth="1"/>
    <col min="7" max="7" width="4.28515625" customWidth="1"/>
  </cols>
  <sheetData>
    <row r="1" spans="2:7" ht="15.75" thickBot="1" x14ac:dyDescent="0.3"/>
    <row r="2" spans="2:7" ht="30" x14ac:dyDescent="0.25">
      <c r="B2" s="17"/>
      <c r="C2" s="14" t="s">
        <v>0</v>
      </c>
      <c r="D2" s="2"/>
      <c r="E2" s="30" t="s">
        <v>8</v>
      </c>
      <c r="F2" s="31"/>
      <c r="G2" s="3"/>
    </row>
    <row r="3" spans="2:7" ht="15" customHeight="1" x14ac:dyDescent="0.25">
      <c r="B3" s="3"/>
      <c r="E3" s="32"/>
      <c r="F3" s="33"/>
      <c r="G3" s="3"/>
    </row>
    <row r="4" spans="2:7" x14ac:dyDescent="0.25">
      <c r="B4" s="3"/>
      <c r="F4" s="11"/>
    </row>
    <row r="5" spans="2:7" x14ac:dyDescent="0.25">
      <c r="B5" s="26" t="s">
        <v>1</v>
      </c>
      <c r="C5" s="28" t="s">
        <v>11</v>
      </c>
      <c r="D5" s="23"/>
      <c r="E5" s="23"/>
      <c r="G5" s="3"/>
    </row>
    <row r="6" spans="2:7" x14ac:dyDescent="0.25">
      <c r="B6" s="26" t="s">
        <v>2</v>
      </c>
      <c r="C6" s="29" t="s">
        <v>12</v>
      </c>
      <c r="D6" s="24"/>
      <c r="E6" s="24"/>
      <c r="G6" s="3"/>
    </row>
    <row r="7" spans="2:7" x14ac:dyDescent="0.25">
      <c r="B7" s="26" t="s">
        <v>4</v>
      </c>
      <c r="C7" s="29" t="s">
        <v>13</v>
      </c>
      <c r="D7" s="24"/>
      <c r="E7" s="24"/>
      <c r="G7" s="3"/>
    </row>
    <row r="8" spans="2:7" x14ac:dyDescent="0.25">
      <c r="B8" s="3"/>
      <c r="G8" s="3"/>
    </row>
    <row r="9" spans="2:7" x14ac:dyDescent="0.25">
      <c r="B9" s="3"/>
      <c r="C9" s="25"/>
      <c r="G9" s="3"/>
    </row>
    <row r="10" spans="2:7" x14ac:dyDescent="0.25">
      <c r="B10" s="3"/>
      <c r="G10" s="3"/>
    </row>
    <row r="11" spans="2:7" x14ac:dyDescent="0.25">
      <c r="B11" s="20" t="s">
        <v>5</v>
      </c>
      <c r="C11" s="21" t="s">
        <v>9</v>
      </c>
      <c r="D11" s="21" t="s">
        <v>7</v>
      </c>
      <c r="E11" s="21" t="s">
        <v>10</v>
      </c>
      <c r="F11" s="22" t="s">
        <v>6</v>
      </c>
      <c r="G11" s="3"/>
    </row>
    <row r="12" spans="2:7" ht="17.25" customHeight="1" x14ac:dyDescent="0.25">
      <c r="B12" s="4" t="s">
        <v>5</v>
      </c>
      <c r="C12" s="15" t="s">
        <v>9</v>
      </c>
      <c r="D12" s="1" t="s">
        <v>83</v>
      </c>
      <c r="E12" s="1"/>
      <c r="F12" s="7" t="s">
        <v>6</v>
      </c>
      <c r="G12" s="3"/>
    </row>
    <row r="13" spans="2:7" x14ac:dyDescent="0.25">
      <c r="B13" s="18" t="s">
        <v>14</v>
      </c>
      <c r="C13" s="16" t="s">
        <v>62</v>
      </c>
      <c r="D13" s="13" t="s">
        <v>84</v>
      </c>
      <c r="E13" s="13" t="s">
        <v>84</v>
      </c>
      <c r="F13" s="27">
        <v>1</v>
      </c>
      <c r="G13" s="3"/>
    </row>
    <row r="14" spans="2:7" x14ac:dyDescent="0.25">
      <c r="B14" s="18" t="s">
        <v>15</v>
      </c>
      <c r="C14" s="16" t="s">
        <v>62</v>
      </c>
      <c r="D14" s="13" t="s">
        <v>85</v>
      </c>
      <c r="E14" s="13" t="s">
        <v>129</v>
      </c>
      <c r="F14" s="8">
        <v>25</v>
      </c>
      <c r="G14" s="3"/>
    </row>
    <row r="15" spans="2:7" x14ac:dyDescent="0.25">
      <c r="B15" s="18" t="s">
        <v>16</v>
      </c>
      <c r="C15" s="16" t="s">
        <v>62</v>
      </c>
      <c r="D15" s="13" t="s">
        <v>86</v>
      </c>
      <c r="E15" s="34" t="s">
        <v>130</v>
      </c>
      <c r="F15" s="27">
        <v>8</v>
      </c>
      <c r="G15" s="3"/>
    </row>
    <row r="16" spans="2:7" x14ac:dyDescent="0.25">
      <c r="B16" s="18" t="s">
        <v>17</v>
      </c>
      <c r="C16" s="16" t="s">
        <v>62</v>
      </c>
      <c r="D16" s="13" t="s">
        <v>87</v>
      </c>
      <c r="E16" s="13" t="s">
        <v>87</v>
      </c>
      <c r="F16" s="8">
        <v>5</v>
      </c>
      <c r="G16" s="3"/>
    </row>
    <row r="17" spans="2:7" x14ac:dyDescent="0.25">
      <c r="B17" s="18" t="s">
        <v>18</v>
      </c>
      <c r="C17" s="16" t="s">
        <v>63</v>
      </c>
      <c r="D17" s="13" t="s">
        <v>88</v>
      </c>
      <c r="E17" s="34" t="s">
        <v>131</v>
      </c>
      <c r="F17" s="27">
        <v>2</v>
      </c>
      <c r="G17" s="3"/>
    </row>
    <row r="18" spans="2:7" x14ac:dyDescent="0.25">
      <c r="B18" s="18" t="s">
        <v>19</v>
      </c>
      <c r="C18" s="16" t="s">
        <v>62</v>
      </c>
      <c r="D18" s="13" t="s">
        <v>89</v>
      </c>
      <c r="E18" s="13"/>
      <c r="F18" s="8">
        <v>1</v>
      </c>
      <c r="G18" s="3"/>
    </row>
    <row r="19" spans="2:7" x14ac:dyDescent="0.25">
      <c r="B19" s="18" t="s">
        <v>20</v>
      </c>
      <c r="C19" s="16" t="s">
        <v>62</v>
      </c>
      <c r="D19" s="13" t="s">
        <v>90</v>
      </c>
      <c r="E19" s="34" t="s">
        <v>132</v>
      </c>
      <c r="F19" s="27">
        <v>1</v>
      </c>
      <c r="G19" s="3"/>
    </row>
    <row r="20" spans="2:7" x14ac:dyDescent="0.25">
      <c r="B20" s="18" t="s">
        <v>21</v>
      </c>
      <c r="C20" s="16"/>
      <c r="D20" s="13"/>
      <c r="E20" s="13"/>
      <c r="F20" s="8">
        <v>37</v>
      </c>
      <c r="G20" s="3"/>
    </row>
    <row r="21" spans="2:7" x14ac:dyDescent="0.25">
      <c r="B21" s="18" t="s">
        <v>22</v>
      </c>
      <c r="C21" s="16" t="s">
        <v>62</v>
      </c>
      <c r="D21" s="13" t="s">
        <v>91</v>
      </c>
      <c r="E21" s="13" t="s">
        <v>133</v>
      </c>
      <c r="F21" s="27">
        <v>4</v>
      </c>
      <c r="G21" s="3"/>
    </row>
    <row r="22" spans="2:7" x14ac:dyDescent="0.25">
      <c r="B22" s="18" t="s">
        <v>23</v>
      </c>
      <c r="C22" s="16" t="s">
        <v>64</v>
      </c>
      <c r="D22" s="13" t="s">
        <v>92</v>
      </c>
      <c r="E22" s="13" t="s">
        <v>92</v>
      </c>
      <c r="F22" s="8">
        <v>2</v>
      </c>
      <c r="G22" s="3"/>
    </row>
    <row r="23" spans="2:7" x14ac:dyDescent="0.25">
      <c r="B23" s="18" t="s">
        <v>24</v>
      </c>
      <c r="C23" s="16" t="s">
        <v>65</v>
      </c>
      <c r="D23" s="13" t="s">
        <v>93</v>
      </c>
      <c r="E23" s="13"/>
      <c r="F23" s="27">
        <v>1</v>
      </c>
      <c r="G23" s="3"/>
    </row>
    <row r="24" spans="2:7" x14ac:dyDescent="0.25">
      <c r="B24" s="18" t="s">
        <v>25</v>
      </c>
      <c r="C24" s="16" t="s">
        <v>64</v>
      </c>
      <c r="D24" s="13" t="s">
        <v>94</v>
      </c>
      <c r="E24" s="13" t="s">
        <v>94</v>
      </c>
      <c r="F24" s="8">
        <v>1</v>
      </c>
      <c r="G24" s="3"/>
    </row>
    <row r="25" spans="2:7" x14ac:dyDescent="0.25">
      <c r="B25" s="18" t="s">
        <v>26</v>
      </c>
      <c r="C25" s="16" t="s">
        <v>65</v>
      </c>
      <c r="D25" s="13" t="s">
        <v>95</v>
      </c>
      <c r="E25" s="13" t="s">
        <v>95</v>
      </c>
      <c r="F25" s="27">
        <v>1</v>
      </c>
      <c r="G25" s="3"/>
    </row>
    <row r="26" spans="2:7" ht="30" x14ac:dyDescent="0.25">
      <c r="B26" s="18" t="s">
        <v>27</v>
      </c>
      <c r="C26" s="16" t="s">
        <v>66</v>
      </c>
      <c r="D26" s="13"/>
      <c r="E26" s="13"/>
      <c r="F26" s="8">
        <v>40</v>
      </c>
      <c r="G26" s="3"/>
    </row>
    <row r="27" spans="2:7" x14ac:dyDescent="0.25">
      <c r="B27" s="18" t="s">
        <v>28</v>
      </c>
      <c r="C27" s="16" t="s">
        <v>67</v>
      </c>
      <c r="D27" s="13" t="s">
        <v>96</v>
      </c>
      <c r="E27" s="34" t="s">
        <v>135</v>
      </c>
      <c r="F27" s="27">
        <v>2</v>
      </c>
      <c r="G27" s="3"/>
    </row>
    <row r="28" spans="2:7" x14ac:dyDescent="0.25">
      <c r="B28" s="18" t="s">
        <v>29</v>
      </c>
      <c r="C28" s="16" t="s">
        <v>67</v>
      </c>
      <c r="D28" s="13" t="s">
        <v>97</v>
      </c>
      <c r="E28" s="13" t="s">
        <v>134</v>
      </c>
      <c r="F28" s="8">
        <v>5</v>
      </c>
      <c r="G28" s="3"/>
    </row>
    <row r="29" spans="2:7" x14ac:dyDescent="0.25">
      <c r="B29" s="18" t="s">
        <v>30</v>
      </c>
      <c r="C29" s="16" t="s">
        <v>68</v>
      </c>
      <c r="D29" s="13" t="s">
        <v>98</v>
      </c>
      <c r="E29" s="13"/>
      <c r="F29" s="27">
        <v>2</v>
      </c>
      <c r="G29" s="3"/>
    </row>
    <row r="30" spans="2:7" x14ac:dyDescent="0.25">
      <c r="B30" s="18" t="s">
        <v>31</v>
      </c>
      <c r="C30" s="16" t="s">
        <v>68</v>
      </c>
      <c r="D30" s="13" t="s">
        <v>99</v>
      </c>
      <c r="E30" s="13"/>
      <c r="F30" s="8">
        <v>9</v>
      </c>
      <c r="G30" s="3"/>
    </row>
    <row r="31" spans="2:7" x14ac:dyDescent="0.25">
      <c r="B31" s="18" t="s">
        <v>32</v>
      </c>
      <c r="C31" s="16" t="s">
        <v>69</v>
      </c>
      <c r="D31" s="13">
        <v>477450100</v>
      </c>
      <c r="E31" s="13"/>
      <c r="F31" s="27">
        <v>1</v>
      </c>
      <c r="G31" s="3"/>
    </row>
    <row r="32" spans="2:7" x14ac:dyDescent="0.25">
      <c r="B32" s="18" t="s">
        <v>33</v>
      </c>
      <c r="C32" s="16" t="s">
        <v>70</v>
      </c>
      <c r="D32" s="13" t="s">
        <v>100</v>
      </c>
      <c r="E32" s="13"/>
      <c r="F32" s="8">
        <v>1</v>
      </c>
      <c r="G32" s="3"/>
    </row>
    <row r="33" spans="2:7" x14ac:dyDescent="0.25">
      <c r="B33" s="18" t="s">
        <v>34</v>
      </c>
      <c r="C33" s="16" t="s">
        <v>71</v>
      </c>
      <c r="D33" s="13" t="s">
        <v>101</v>
      </c>
      <c r="E33" s="13" t="s">
        <v>101</v>
      </c>
      <c r="F33" s="27">
        <v>1</v>
      </c>
      <c r="G33" s="3"/>
    </row>
    <row r="34" spans="2:7" x14ac:dyDescent="0.25">
      <c r="B34" s="18" t="s">
        <v>35</v>
      </c>
      <c r="C34" s="16" t="s">
        <v>72</v>
      </c>
      <c r="D34" s="13" t="s">
        <v>102</v>
      </c>
      <c r="E34" s="13">
        <v>742862160</v>
      </c>
      <c r="F34" s="8">
        <v>1</v>
      </c>
      <c r="G34" s="3"/>
    </row>
    <row r="35" spans="2:7" x14ac:dyDescent="0.25">
      <c r="B35" s="18" t="s">
        <v>36</v>
      </c>
      <c r="C35" s="16" t="s">
        <v>63</v>
      </c>
      <c r="D35" s="13" t="s">
        <v>103</v>
      </c>
      <c r="E35" s="13" t="s">
        <v>136</v>
      </c>
      <c r="F35" s="27">
        <v>2</v>
      </c>
      <c r="G35" s="3"/>
    </row>
    <row r="36" spans="2:7" x14ac:dyDescent="0.25">
      <c r="B36" s="18" t="s">
        <v>37</v>
      </c>
      <c r="C36" s="16" t="s">
        <v>73</v>
      </c>
      <c r="D36" s="13" t="s">
        <v>104</v>
      </c>
      <c r="E36" s="13"/>
      <c r="F36" s="8">
        <v>2</v>
      </c>
      <c r="G36" s="3"/>
    </row>
    <row r="37" spans="2:7" x14ac:dyDescent="0.25">
      <c r="B37" s="18" t="s">
        <v>38</v>
      </c>
      <c r="C37" s="16" t="s">
        <v>74</v>
      </c>
      <c r="D37" s="13" t="s">
        <v>105</v>
      </c>
      <c r="E37" s="13" t="s">
        <v>105</v>
      </c>
      <c r="F37" s="27">
        <v>1</v>
      </c>
      <c r="G37" s="3"/>
    </row>
    <row r="38" spans="2:7" x14ac:dyDescent="0.25">
      <c r="B38" s="18" t="s">
        <v>39</v>
      </c>
      <c r="C38" s="16" t="s">
        <v>74</v>
      </c>
      <c r="D38" s="13" t="s">
        <v>106</v>
      </c>
      <c r="E38" s="13" t="s">
        <v>137</v>
      </c>
      <c r="F38" s="8">
        <v>23</v>
      </c>
      <c r="G38" s="3"/>
    </row>
    <row r="39" spans="2:7" x14ac:dyDescent="0.25">
      <c r="B39" s="18" t="s">
        <v>40</v>
      </c>
      <c r="C39" s="16" t="s">
        <v>74</v>
      </c>
      <c r="D39" s="13" t="s">
        <v>107</v>
      </c>
      <c r="E39" s="34" t="s">
        <v>138</v>
      </c>
      <c r="F39" s="27">
        <v>29</v>
      </c>
      <c r="G39" s="3"/>
    </row>
    <row r="40" spans="2:7" x14ac:dyDescent="0.25">
      <c r="B40" s="18" t="s">
        <v>41</v>
      </c>
      <c r="C40" s="16" t="s">
        <v>74</v>
      </c>
      <c r="D40" s="13" t="s">
        <v>108</v>
      </c>
      <c r="E40" s="13" t="s">
        <v>139</v>
      </c>
      <c r="F40" s="8">
        <v>1</v>
      </c>
      <c r="G40" s="3"/>
    </row>
    <row r="41" spans="2:7" x14ac:dyDescent="0.25">
      <c r="B41" s="18" t="s">
        <v>42</v>
      </c>
      <c r="C41" s="16" t="s">
        <v>74</v>
      </c>
      <c r="D41" s="13" t="s">
        <v>109</v>
      </c>
      <c r="E41" s="13" t="s">
        <v>109</v>
      </c>
      <c r="F41" s="27">
        <v>7</v>
      </c>
      <c r="G41" s="3"/>
    </row>
    <row r="42" spans="2:7" x14ac:dyDescent="0.25">
      <c r="B42" s="18" t="s">
        <v>43</v>
      </c>
      <c r="C42" s="16" t="s">
        <v>74</v>
      </c>
      <c r="D42" s="13" t="s">
        <v>110</v>
      </c>
      <c r="E42" s="34" t="s">
        <v>140</v>
      </c>
      <c r="F42" s="8">
        <v>9</v>
      </c>
      <c r="G42" s="3"/>
    </row>
    <row r="43" spans="2:7" x14ac:dyDescent="0.25">
      <c r="B43" s="18" t="s">
        <v>44</v>
      </c>
      <c r="C43" s="16" t="s">
        <v>74</v>
      </c>
      <c r="D43" s="13" t="s">
        <v>111</v>
      </c>
      <c r="E43" s="13"/>
      <c r="F43" s="27">
        <v>1</v>
      </c>
      <c r="G43" s="3"/>
    </row>
    <row r="44" spans="2:7" x14ac:dyDescent="0.25">
      <c r="B44" s="18" t="s">
        <v>45</v>
      </c>
      <c r="C44" s="16" t="s">
        <v>74</v>
      </c>
      <c r="D44" s="13" t="s">
        <v>112</v>
      </c>
      <c r="E44" s="13"/>
      <c r="F44" s="8">
        <v>1</v>
      </c>
      <c r="G44" s="3"/>
    </row>
    <row r="45" spans="2:7" x14ac:dyDescent="0.25">
      <c r="B45" s="18" t="s">
        <v>46</v>
      </c>
      <c r="C45" s="16" t="s">
        <v>74</v>
      </c>
      <c r="D45" s="13" t="s">
        <v>113</v>
      </c>
      <c r="E45" s="13" t="s">
        <v>113</v>
      </c>
      <c r="F45" s="27">
        <v>1</v>
      </c>
      <c r="G45" s="3"/>
    </row>
    <row r="46" spans="2:7" x14ac:dyDescent="0.25">
      <c r="B46" s="18" t="s">
        <v>47</v>
      </c>
      <c r="C46" s="16" t="s">
        <v>74</v>
      </c>
      <c r="D46" s="13" t="s">
        <v>114</v>
      </c>
      <c r="E46" s="34" t="s">
        <v>141</v>
      </c>
      <c r="F46" s="8">
        <v>42</v>
      </c>
      <c r="G46" s="3"/>
    </row>
    <row r="47" spans="2:7" x14ac:dyDescent="0.25">
      <c r="B47" s="18" t="s">
        <v>48</v>
      </c>
      <c r="C47" s="16" t="s">
        <v>74</v>
      </c>
      <c r="D47" s="13" t="s">
        <v>115</v>
      </c>
      <c r="E47" s="13" t="s">
        <v>142</v>
      </c>
      <c r="F47" s="27">
        <v>8</v>
      </c>
      <c r="G47" s="3"/>
    </row>
    <row r="48" spans="2:7" x14ac:dyDescent="0.25">
      <c r="B48" s="18" t="s">
        <v>49</v>
      </c>
      <c r="C48" s="16" t="s">
        <v>75</v>
      </c>
      <c r="D48" s="13" t="s">
        <v>116</v>
      </c>
      <c r="E48" s="13" t="s">
        <v>116</v>
      </c>
      <c r="F48" s="8">
        <v>1</v>
      </c>
      <c r="G48" s="3"/>
    </row>
    <row r="49" spans="2:7" x14ac:dyDescent="0.25">
      <c r="B49" s="18" t="s">
        <v>50</v>
      </c>
      <c r="C49" s="16" t="s">
        <v>76</v>
      </c>
      <c r="D49" s="13" t="s">
        <v>117</v>
      </c>
      <c r="E49" s="13" t="s">
        <v>117</v>
      </c>
      <c r="F49" s="27">
        <v>1</v>
      </c>
      <c r="G49" s="3"/>
    </row>
    <row r="50" spans="2:7" x14ac:dyDescent="0.25">
      <c r="B50" s="18" t="s">
        <v>51</v>
      </c>
      <c r="C50" s="16" t="s">
        <v>76</v>
      </c>
      <c r="D50" s="13" t="s">
        <v>118</v>
      </c>
      <c r="E50" s="35" t="s">
        <v>143</v>
      </c>
      <c r="F50" s="8">
        <v>1</v>
      </c>
      <c r="G50" s="3"/>
    </row>
    <row r="51" spans="2:7" x14ac:dyDescent="0.25">
      <c r="B51" s="18" t="s">
        <v>52</v>
      </c>
      <c r="C51" s="16" t="s">
        <v>77</v>
      </c>
      <c r="D51" s="13" t="s">
        <v>119</v>
      </c>
      <c r="E51" s="13" t="s">
        <v>119</v>
      </c>
      <c r="F51" s="27">
        <v>1</v>
      </c>
      <c r="G51" s="3"/>
    </row>
    <row r="52" spans="2:7" x14ac:dyDescent="0.25">
      <c r="B52" s="18" t="s">
        <v>53</v>
      </c>
      <c r="C52" s="16" t="s">
        <v>78</v>
      </c>
      <c r="D52" s="13" t="s">
        <v>120</v>
      </c>
      <c r="E52" s="13"/>
      <c r="F52" s="8">
        <v>3</v>
      </c>
      <c r="G52" s="3"/>
    </row>
    <row r="53" spans="2:7" x14ac:dyDescent="0.25">
      <c r="B53" s="18" t="s">
        <v>54</v>
      </c>
      <c r="C53" s="16" t="s">
        <v>78</v>
      </c>
      <c r="D53" s="13" t="s">
        <v>121</v>
      </c>
      <c r="E53" s="13"/>
      <c r="F53" s="27">
        <v>2</v>
      </c>
      <c r="G53" s="3"/>
    </row>
    <row r="54" spans="2:7" x14ac:dyDescent="0.25">
      <c r="B54" s="18" t="s">
        <v>55</v>
      </c>
      <c r="C54" s="16" t="s">
        <v>79</v>
      </c>
      <c r="D54" s="13" t="s">
        <v>122</v>
      </c>
      <c r="E54" s="13" t="s">
        <v>144</v>
      </c>
      <c r="F54" s="8">
        <v>4</v>
      </c>
      <c r="G54" s="3"/>
    </row>
    <row r="55" spans="2:7" x14ac:dyDescent="0.25">
      <c r="B55" s="18" t="s">
        <v>56</v>
      </c>
      <c r="C55" s="16" t="s">
        <v>80</v>
      </c>
      <c r="D55" s="13" t="s">
        <v>123</v>
      </c>
      <c r="E55" s="13"/>
      <c r="F55" s="27">
        <v>1</v>
      </c>
      <c r="G55" s="3"/>
    </row>
    <row r="56" spans="2:7" x14ac:dyDescent="0.25">
      <c r="B56" s="18" t="s">
        <v>57</v>
      </c>
      <c r="C56" s="16" t="s">
        <v>77</v>
      </c>
      <c r="D56" s="13" t="s">
        <v>124</v>
      </c>
      <c r="E56" s="13"/>
      <c r="F56" s="8">
        <v>1</v>
      </c>
      <c r="G56" s="3"/>
    </row>
    <row r="57" spans="2:7" x14ac:dyDescent="0.25">
      <c r="B57" s="18" t="s">
        <v>58</v>
      </c>
      <c r="C57" s="16" t="s">
        <v>81</v>
      </c>
      <c r="D57" s="13" t="s">
        <v>125</v>
      </c>
      <c r="E57" s="13"/>
      <c r="F57" s="27">
        <v>1</v>
      </c>
      <c r="G57" s="3"/>
    </row>
    <row r="58" spans="2:7" x14ac:dyDescent="0.25">
      <c r="B58" s="18" t="s">
        <v>59</v>
      </c>
      <c r="C58" s="16" t="s">
        <v>78</v>
      </c>
      <c r="D58" s="13" t="s">
        <v>126</v>
      </c>
      <c r="E58" s="13"/>
      <c r="F58" s="8">
        <v>1</v>
      </c>
      <c r="G58" s="3"/>
    </row>
    <row r="59" spans="2:7" x14ac:dyDescent="0.25">
      <c r="B59" s="18" t="s">
        <v>60</v>
      </c>
      <c r="C59" s="16" t="s">
        <v>78</v>
      </c>
      <c r="D59" s="13" t="s">
        <v>127</v>
      </c>
      <c r="E59" s="13"/>
      <c r="F59" s="27">
        <v>1</v>
      </c>
      <c r="G59" s="3"/>
    </row>
    <row r="60" spans="2:7" x14ac:dyDescent="0.25">
      <c r="B60" s="18" t="s">
        <v>61</v>
      </c>
      <c r="C60" s="16" t="s">
        <v>82</v>
      </c>
      <c r="D60" s="13" t="s">
        <v>128</v>
      </c>
      <c r="E60" s="13" t="s">
        <v>128</v>
      </c>
      <c r="F60" s="8">
        <v>1</v>
      </c>
      <c r="G60" s="3"/>
    </row>
    <row r="61" spans="2:7" ht="15.75" thickBot="1" x14ac:dyDescent="0.3">
      <c r="B61" s="19"/>
      <c r="C61" s="6"/>
      <c r="D61" s="6"/>
      <c r="E61" s="6"/>
      <c r="F61" s="9">
        <f>SUM(F13:F60)</f>
        <v>297</v>
      </c>
      <c r="G61" s="3"/>
    </row>
    <row r="62" spans="2:7" ht="15.75" thickBot="1" x14ac:dyDescent="0.3">
      <c r="F62" s="2"/>
    </row>
    <row r="63" spans="2:7" x14ac:dyDescent="0.25">
      <c r="B63" s="17" t="s">
        <v>3</v>
      </c>
      <c r="C63" s="2"/>
      <c r="D63" s="2"/>
      <c r="E63" s="2"/>
      <c r="F63" s="10"/>
    </row>
    <row r="64" spans="2:7" x14ac:dyDescent="0.25">
      <c r="B64" s="3"/>
      <c r="F64" s="11"/>
    </row>
    <row r="65" spans="2:6" x14ac:dyDescent="0.25">
      <c r="B65" s="3"/>
      <c r="F65" s="11"/>
    </row>
    <row r="66" spans="2:6" x14ac:dyDescent="0.25">
      <c r="B66" s="3"/>
      <c r="F66" s="11"/>
    </row>
    <row r="67" spans="2:6" x14ac:dyDescent="0.25">
      <c r="B67" s="3"/>
      <c r="F67" s="11"/>
    </row>
    <row r="68" spans="2:6" ht="15.75" thickBot="1" x14ac:dyDescent="0.3">
      <c r="B68" s="5"/>
      <c r="C68" s="6"/>
      <c r="D68" s="6"/>
      <c r="E68" s="6"/>
      <c r="F68" s="12"/>
    </row>
  </sheetData>
  <mergeCells count="1">
    <mergeCell ref="E2:F3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Nicola Reat</cp:lastModifiedBy>
  <cp:lastPrinted>2014-01-09T23:24:28Z</cp:lastPrinted>
  <dcterms:created xsi:type="dcterms:W3CDTF">2013-12-31T18:23:59Z</dcterms:created>
  <dcterms:modified xsi:type="dcterms:W3CDTF">2025-06-18T12:45:26Z</dcterms:modified>
</cp:coreProperties>
</file>